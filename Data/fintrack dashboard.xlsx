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3db0aee9b5aa75/"/>
    </mc:Choice>
  </mc:AlternateContent>
  <xr:revisionPtr revIDLastSave="1" documentId="8_{30ED8E1D-8780-4A42-A53C-4DBF09739324}" xr6:coauthVersionLast="47" xr6:coauthVersionMax="47" xr10:uidLastSave="{F3A6B003-49DB-4EEE-9E2E-AF1D52DD91C6}"/>
  <bookViews>
    <workbookView xWindow="-108" yWindow="-108" windowWidth="23256" windowHeight="12456" activeTab="5" xr2:uid="{EF62189B-44F9-470D-B573-E6F1C7E8EB7C}"/>
  </bookViews>
  <sheets>
    <sheet name="PT_Income_Expense" sheetId="8" r:id="rId1"/>
    <sheet name="PT_Savings" sheetId="11" r:id="rId2"/>
    <sheet name="Raw_Month" sheetId="5" r:id="rId3"/>
    <sheet name="PT_Category" sheetId="9" r:id="rId4"/>
    <sheet name="Raw_Category" sheetId="6" r:id="rId5"/>
    <sheet name="Raw_Anomalies" sheetId="7" r:id="rId6"/>
  </sheets>
  <definedNames>
    <definedName name="ExternalData_1" localSheetId="5" hidden="1">Raw_Anomalies!$A$1:$F$11</definedName>
    <definedName name="ExternalData_1" localSheetId="4" hidden="1">Raw_Category!$A$1:$D$11</definedName>
    <definedName name="ExternalData_1" localSheetId="2" hidden="1">Raw_Month!$A$1:$F$22</definedName>
  </definedNames>
  <calcPr calcId="191029"/>
  <pivotCaches>
    <pivotCache cacheId="12" r:id="rId7"/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CA9D1F-6509-40AD-A272-03490127B78C}" keepAlive="1" name="Query - Anomiles" description="Connection to the 'Anomiles' query in the workbook." type="5" refreshedVersion="8" background="1" saveData="1">
    <dbPr connection="Provider=Microsoft.Mashup.OleDb.1;Data Source=$Workbook$;Location=Anomiles;Extended Properties=&quot;&quot;" command="SELECT * FROM [Anomiles]"/>
  </connection>
  <connection id="2" xr16:uid="{D138F93E-3AB9-45DF-A706-D2FB840BF43C}" keepAlive="1" name="Query - Category_summary" description="Connection to the 'Category_summary' query in the workbook." type="5" refreshedVersion="8" background="1" saveData="1">
    <dbPr connection="Provider=Microsoft.Mashup.OleDb.1;Data Source=$Workbook$;Location=Category_summary;Extended Properties=&quot;&quot;" command="SELECT * FROM [Category_summary]"/>
  </connection>
  <connection id="3" xr16:uid="{BEA2F5B7-D150-44CC-9633-F32BBF865997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</connections>
</file>

<file path=xl/sharedStrings.xml><?xml version="1.0" encoding="utf-8"?>
<sst xmlns="http://schemas.openxmlformats.org/spreadsheetml/2006/main" count="112" uniqueCount="45">
  <si>
    <t>yr</t>
  </si>
  <si>
    <t>mo</t>
  </si>
  <si>
    <t>month_name</t>
  </si>
  <si>
    <t>total_income</t>
  </si>
  <si>
    <t>total_expense</t>
  </si>
  <si>
    <t>net_savings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</si>
  <si>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</si>
  <si>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</si>
  <si>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</si>
  <si>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</si>
  <si>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</si>
  <si>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</si>
  <si>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</si>
  <si>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</si>
  <si>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</si>
  <si>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</si>
  <si>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</si>
  <si>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</si>
  <si>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</t>
  </si>
  <si>
    <t>total_spent</t>
  </si>
  <si>
    <t>num_transactions</t>
  </si>
  <si>
    <t>pct_of_total</t>
  </si>
  <si>
    <t>Credit Card Payment</t>
  </si>
  <si>
    <t>Mortgage &amp; Rent</t>
  </si>
  <si>
    <t>Home Improvement</t>
  </si>
  <si>
    <t>Groceries</t>
  </si>
  <si>
    <t>Utilities</t>
  </si>
  <si>
    <t>Restaurants</t>
  </si>
  <si>
    <t>Shopping</t>
  </si>
  <si>
    <t>Gas &amp; Fuel</t>
  </si>
  <si>
    <t>Mobile Phone</t>
  </si>
  <si>
    <t>Internet</t>
  </si>
  <si>
    <t>txn_date</t>
  </si>
  <si>
    <t>description</t>
  </si>
  <si>
    <t>amount</t>
  </si>
  <si>
    <t>category_avg</t>
  </si>
  <si>
    <t>above_avg_by</t>
  </si>
  <si>
    <t>Mike's Construction Co.</t>
  </si>
  <si>
    <t>Row Labels</t>
  </si>
  <si>
    <t>Grand Total</t>
  </si>
  <si>
    <t>Sum of total_income</t>
  </si>
  <si>
    <t>Sum of total_expense</t>
  </si>
  <si>
    <t>Sum of total_spent</t>
  </si>
  <si>
    <t>Sum of pct_of_total</t>
  </si>
  <si>
    <t>Sum of net_savings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</si>
</sst>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 dashboard.xlsx]PT_Income_Expense!PivotTable1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Income vs Expense by Month</a:t>
            </a: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PT_Income_Expense!$B$3</c:f>
              <c:strCache>
                <c:ptCount val="1"/>
                <c:pt idx="0">
                  <c:v>Sum of total_income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PT_Income_Expense!$A$4:$A$16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PT_Income_Expense!$B$4:$B$16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E-45AE-8F4C-745D9C657D13}"/>
            </c:ext>
          </c:extLst>
        </c:ser>
        <c:ser>
          <c:idx val="1"/>
          <c:order val="1"/>
          <c:tx>
            <c:strRef>
              <c:f>PT_Income_Expense!$C$3</c:f>
              <c:strCache>
                <c:ptCount val="1"/>
                <c:pt idx="0">
                  <c:v>Sum of total_expense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PT_Income_Expense!$A$4:$A$16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PT_Income_Expense!$C$4:$C$16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E-45AE-8F4C-745D9C657D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91309727"/>
        <c:axId val="727535567"/>
      </c:barChart>
      <c:catAx>
        <c:axId val="179130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35567"/>
        <c:crosses val="autoZero"/>
        <c:auto val="1"/>
        <c:lblAlgn val="ctr"/>
        <c:lblOffset val="100"/>
        <c:noMultiLvlLbl val="0"/>
      </c:catAx>
      <c:valAx>
        <c:axId val="72753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0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 dashboard.xlsx]PT_Savings!PivotTable4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Net Savings Trend</a:t>
            </a: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PT_Savings!$B$3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PT_Savings!$A$4:$A$16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PT_Savings!$B$4:$B$16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E-46CB-BAD1-6F6DA1DD6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328751"/>
        <c:axId val="727576847"/>
      </c:lineChart>
      <c:catAx>
        <c:axId val="179132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76847"/>
        <c:crosses val="autoZero"/>
        <c:auto val="1"/>
        <c:lblAlgn val="ctr"/>
        <c:lblOffset val="100"/>
        <c:noMultiLvlLbl val="0"/>
      </c:catAx>
      <c:valAx>
        <c:axId val="72757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2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 dashboard.xlsx]PT_Category!PivotTable2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Top Spending Categories</a:t>
            </a:r>
            <a:endParaRPr lang="en-US" sz="1400" b="1">
              <a:solidFill>
                <a:schemeClr val="bg1"/>
              </a:solidFill>
            </a:endParaRP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PT_Category!$B$3</c:f>
              <c:strCache>
                <c:ptCount val="1"/>
                <c:pt idx="0">
                  <c:v>Sum of 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PT_Category!$A$4:$A$14</c:f>
              <c:strCache>
                <c:ptCount val="10"/>
                <c:pt idx="0">
                  <c:v>Credit Card Payment</c:v>
                </c:pt>
                <c:pt idx="1">
                  <c:v>Gas &amp; Fuel</c:v>
                </c:pt>
                <c:pt idx="2">
                  <c:v>Groceries</c:v>
                </c:pt>
                <c:pt idx="3">
                  <c:v>Home Improvement</c:v>
                </c:pt>
                <c:pt idx="4">
                  <c:v>Internet</c:v>
                </c:pt>
                <c:pt idx="5">
                  <c:v>Mobile Phone</c:v>
                </c:pt>
                <c:pt idx="6">
                  <c:v>Mortgage &amp; Rent</c:v>
                </c:pt>
                <c:pt idx="7">
                  <c:v>Restaurants</c:v>
                </c:pt>
                <c:pt idx="8">
                  <c:v>Shopping</c:v>
                </c:pt>
                <c:pt idx="9">
                  <c:v>Utilities</c:v>
                </c:pt>
              </c:strCache>
            </c:strRef>
          </c:cat>
          <c:val>
            <c:numRef>
              <c:f>PT_Category!$B$4:$B$14</c:f>
              <c:numCache>
                <c:formatCode>General</c:formatCode>
                <c:ptCount val="10"/>
                <c:pt idx="0">
                  <c:v>33041.360000000001</c:v>
                </c:pt>
                <c:pt idx="1">
                  <c:v>1715.17</c:v>
                </c:pt>
                <c:pt idx="2">
                  <c:v>2795.21</c:v>
                </c:pt>
                <c:pt idx="3">
                  <c:v>19092.87</c:v>
                </c:pt>
                <c:pt idx="4">
                  <c:v>1570.88</c:v>
                </c:pt>
                <c:pt idx="5">
                  <c:v>1680.4</c:v>
                </c:pt>
                <c:pt idx="6">
                  <c:v>24754.5</c:v>
                </c:pt>
                <c:pt idx="7">
                  <c:v>2613.02</c:v>
                </c:pt>
                <c:pt idx="8">
                  <c:v>1973.24</c:v>
                </c:pt>
                <c:pt idx="9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D-4F33-AD5F-480CB424083D}"/>
            </c:ext>
          </c:extLst>
        </c:ser>
        <c:ser>
          <c:idx val="1"/>
          <c:order val="1"/>
          <c:tx>
            <c:strRef>
              <c:f>PT_Category!$C$3</c:f>
              <c:strCache>
                <c:ptCount val="1"/>
                <c:pt idx="0">
                  <c:v>Sum of pct_of_total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PT_Category!$A$4:$A$14</c:f>
              <c:strCache>
                <c:ptCount val="10"/>
                <c:pt idx="0">
                  <c:v>Credit Card Payment</c:v>
                </c:pt>
                <c:pt idx="1">
                  <c:v>Gas &amp; Fuel</c:v>
                </c:pt>
                <c:pt idx="2">
                  <c:v>Groceries</c:v>
                </c:pt>
                <c:pt idx="3">
                  <c:v>Home Improvement</c:v>
                </c:pt>
                <c:pt idx="4">
                  <c:v>Internet</c:v>
                </c:pt>
                <c:pt idx="5">
                  <c:v>Mobile Phone</c:v>
                </c:pt>
                <c:pt idx="6">
                  <c:v>Mortgage &amp; Rent</c:v>
                </c:pt>
                <c:pt idx="7">
                  <c:v>Restaurants</c:v>
                </c:pt>
                <c:pt idx="8">
                  <c:v>Shopping</c:v>
                </c:pt>
                <c:pt idx="9">
                  <c:v>Utilities</c:v>
                </c:pt>
              </c:strCache>
            </c:strRef>
          </c:cat>
          <c:val>
            <c:numRef>
              <c:f>PT_Category!$C$4:$C$14</c:f>
              <c:numCache>
                <c:formatCode>General</c:formatCode>
                <c:ptCount val="10"/>
                <c:pt idx="0">
                  <c:v>34.39</c:v>
                </c:pt>
                <c:pt idx="1">
                  <c:v>1.79</c:v>
                </c:pt>
                <c:pt idx="2">
                  <c:v>2.91</c:v>
                </c:pt>
                <c:pt idx="3">
                  <c:v>19.87</c:v>
                </c:pt>
                <c:pt idx="4">
                  <c:v>1.63</c:v>
                </c:pt>
                <c:pt idx="5">
                  <c:v>1.75</c:v>
                </c:pt>
                <c:pt idx="6">
                  <c:v>25.76</c:v>
                </c:pt>
                <c:pt idx="7">
                  <c:v>2.72</c:v>
                </c:pt>
                <c:pt idx="8">
                  <c:v>2.0499999999999998</c:v>
                </c:pt>
                <c:pt idx="9">
                  <c:v>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D-4F33-AD5F-480CB4240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1243839"/>
        <c:axId val="727505807"/>
      </c:barChart>
      <c:catAx>
        <c:axId val="179124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05807"/>
        <c:crosses val="autoZero"/>
        <c:auto val="1"/>
        <c:lblAlgn val="ctr"/>
        <c:lblOffset val="100"/>
        <c:noMultiLvlLbl val="0"/>
      </c:catAx>
      <c:valAx>
        <c:axId val="72750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4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[fintrack dashboard.xlsx]PT_Category!PivotTable2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Expense Share</a:t>
            </a:r>
          </a:p>
        </c:rich>
      </c:tx>
      <c:layout>
        <c:manualLayout>
          <c:xMode val="edge"/>
          <c:yMode val="edge"/>
          <c:x val="0.37492344706911634"/>
          <c:y val="0.11472003499562555"/>
        </c:manualLayout>
      </c:layout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PT_Category!$B$3</c:f>
              <c:strCache>
                <c:ptCount val="1"/>
                <c:pt idx="0">
                  <c:v>Sum of total_spent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PT_Category!$A$4:$A$14</c:f>
              <c:strCache>
                <c:ptCount val="10"/>
                <c:pt idx="0">
                  <c:v>Credit Card Payment</c:v>
                </c:pt>
                <c:pt idx="1">
                  <c:v>Gas &amp; Fuel</c:v>
                </c:pt>
                <c:pt idx="2">
                  <c:v>Groceries</c:v>
                </c:pt>
                <c:pt idx="3">
                  <c:v>Home Improvement</c:v>
                </c:pt>
                <c:pt idx="4">
                  <c:v>Internet</c:v>
                </c:pt>
                <c:pt idx="5">
                  <c:v>Mobile Phone</c:v>
                </c:pt>
                <c:pt idx="6">
                  <c:v>Mortgage &amp; Rent</c:v>
                </c:pt>
                <c:pt idx="7">
                  <c:v>Restaurants</c:v>
                </c:pt>
                <c:pt idx="8">
                  <c:v>Shopping</c:v>
                </c:pt>
                <c:pt idx="9">
                  <c:v>Utilities</c:v>
                </c:pt>
              </c:strCache>
            </c:strRef>
          </c:cat>
          <c:val>
            <c:numRef>
              <c:f>PT_Category!$B$4:$B$14</c:f>
              <c:numCache>
                <c:formatCode>General</c:formatCode>
                <c:ptCount val="10"/>
                <c:pt idx="0">
                  <c:v>33041.360000000001</c:v>
                </c:pt>
                <c:pt idx="1">
                  <c:v>1715.17</c:v>
                </c:pt>
                <c:pt idx="2">
                  <c:v>2795.21</c:v>
                </c:pt>
                <c:pt idx="3">
                  <c:v>19092.87</c:v>
                </c:pt>
                <c:pt idx="4">
                  <c:v>1570.88</c:v>
                </c:pt>
                <c:pt idx="5">
                  <c:v>1680.4</c:v>
                </c:pt>
                <c:pt idx="6">
                  <c:v>24754.5</c:v>
                </c:pt>
                <c:pt idx="7">
                  <c:v>2613.02</c:v>
                </c:pt>
                <c:pt idx="8">
                  <c:v>1973.24</c:v>
                </c:pt>
                <c:pt idx="9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1-4D46-8A48-8DBC7AC2AC7E}"/>
            </c:ext>
          </c:extLst>
        </c:ser>
        <c:ser>
          <c:idx val="1"/>
          <c:order val="1"/>
          <c:tx>
            <c:strRef>
              <c:f>PT_Category!$C$3</c:f>
              <c:strCache>
                <c:ptCount val="1"/>
                <c:pt idx="0">
                  <c:v>Sum of pct_of_total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PT_Category!$A$4:$A$14</c:f>
              <c:strCache>
                <c:ptCount val="10"/>
                <c:pt idx="0">
                  <c:v>Credit Card Payment</c:v>
                </c:pt>
                <c:pt idx="1">
                  <c:v>Gas &amp; Fuel</c:v>
                </c:pt>
                <c:pt idx="2">
                  <c:v>Groceries</c:v>
                </c:pt>
                <c:pt idx="3">
                  <c:v>Home Improvement</c:v>
                </c:pt>
                <c:pt idx="4">
                  <c:v>Internet</c:v>
                </c:pt>
                <c:pt idx="5">
                  <c:v>Mobile Phone</c:v>
                </c:pt>
                <c:pt idx="6">
                  <c:v>Mortgage &amp; Rent</c:v>
                </c:pt>
                <c:pt idx="7">
                  <c:v>Restaurants</c:v>
                </c:pt>
                <c:pt idx="8">
                  <c:v>Shopping</c:v>
                </c:pt>
                <c:pt idx="9">
                  <c:v>Utilities</c:v>
                </c:pt>
              </c:strCache>
            </c:strRef>
          </c:cat>
          <c:val>
            <c:numRef>
              <c:f>PT_Category!$C$4:$C$14</c:f>
              <c:numCache>
                <c:formatCode>General</c:formatCode>
                <c:ptCount val="10"/>
                <c:pt idx="0">
                  <c:v>34.39</c:v>
                </c:pt>
                <c:pt idx="1">
                  <c:v>1.79</c:v>
                </c:pt>
                <c:pt idx="2">
                  <c:v>2.91</c:v>
                </c:pt>
                <c:pt idx="3">
                  <c:v>19.87</c:v>
                </c:pt>
                <c:pt idx="4">
                  <c:v>1.63</c:v>
                </c:pt>
                <c:pt idx="5">
                  <c:v>1.75</c:v>
                </c:pt>
                <c:pt idx="6">
                  <c:v>25.76</c:v>
                </c:pt>
                <c:pt idx="7">
                  <c:v>2.72</c:v>
                </c:pt>
                <c:pt idx="8">
                  <c:v>2.0499999999999998</c:v>
                </c:pt>
                <c:pt idx="9">
                  <c:v>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1-4D46-8A48-8DBC7AC2A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7</xdr:row>
      <xdr:rowOff>22860</xdr:rowOff>
    </xdr:from>
    <xdr:to>
      <xdr:col>11</xdr:col>
      <xdr:colOff>335280</xdr:colOff>
      <xdr:row>24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B5FD57-4D4B-CE16-37DF-0355DFA26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0.48833</cdr:x>
      <cdr:y>0</cdr:y>
    </cdr:from>
    <cdr:to>
      <cdr:x>0.50167</cdr:x>
      <cdr:y>0.23333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068C24-071E-303D-E15C-89CAB35D08F0}"/>
            </a:ext>
          </a:extLst>
        </cdr:cNvPr>
        <cdr:cNvSpPr txBox="1"/>
      </cdr:nvSpPr>
      <cdr:spPr>
        <a:xfrm xmlns:a="http://schemas.openxmlformats.org/drawingml/2006/main">
          <a:off x="2232660" y="-605790"/>
          <a:ext cx="60960" cy="640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7</xdr:row>
      <xdr:rowOff>125730</xdr:rowOff>
    </xdr:from>
    <xdr:to>
      <xdr:col>10</xdr:col>
      <xdr:colOff>365760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F5FC6-5964-AD8F-9C4B-AFDE99340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7</xdr:row>
      <xdr:rowOff>87630</xdr:rowOff>
    </xdr:from>
    <xdr:to>
      <xdr:col>11</xdr:col>
      <xdr:colOff>53340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D4347-A350-FA23-4E42-D8BA43A23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525780</xdr:colOff>
      <xdr:row>7</xdr:row>
      <xdr:rowOff>64770</xdr:rowOff>
    </xdr:from>
    <xdr:to>
      <xdr:col>19</xdr:col>
      <xdr:colOff>220980</xdr:colOff>
      <xdr:row>22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3835BA-CB54-7B85-F624-720DA5795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rs Roshni" refreshedDate="46211.654445138891" createdVersion="8" refreshedVersion="8" minRefreshableVersion="3" recordCount="21" xr:uid="{347AA7FD-BE21-4FAB-A2BE-FB1C589D7397}">
  <cacheSource type="worksheet">
    <worksheetSource name="Monthly_trend"/>
  </cacheSource>
  <cacheFields count="6">
    <cacheField name="yr" numFmtId="0">
      <sharedItems containsSemiMixedTypes="0" containsString="0" containsNumber="1" containsInteger="1" minValue="2018" maxValue="2019"/>
    </cacheField>
    <cacheField name="mo" numFmtId="0">
      <sharedItems containsSemiMixedTypes="0" containsString="0" containsNumber="1" containsInteger="1" minValue="1" maxValue="12"/>
    </cacheField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_income" numFmtId="0">
      <sharedItems containsSemiMixedTypes="0" containsString="0" containsNumber="1" containsInteger="1" minValue="0" maxValue="0"/>
    </cacheField>
    <cacheField name="total_expense" numFmtId="0">
      <sharedItems containsSemiMixedTypes="0" containsString="0" containsNumber="1" containsInteger="1" minValue="0" maxValue="0"/>
    </cacheField>
    <cacheField name="net_saving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rs Roshni" refreshedDate="46211.655199537039" createdVersion="8" refreshedVersion="8" minRefreshableVersion="3" recordCount="10" xr:uid="{5944377D-8899-4113-A401-A1A0EC333DEE}">
  <cacheSource type="worksheet">
    <worksheetSource name="Category_summary"/>
  </cacheSource>
  <cacheFields count="4">
    <cacheField name="category" numFmtId="0">
      <sharedItems count="10">
        <s v="Credit Card Payment"/>
        <s v="Mortgage &amp; Rent"/>
        <s v="Home Improvement"/>
        <s v="Groceries"/>
        <s v="Utilities"/>
        <s v="Restaurants"/>
        <s v="Shopping"/>
        <s v="Gas &amp; Fuel"/>
        <s v="Mobile Phone"/>
        <s v="Internet"/>
      </sharedItems>
    </cacheField>
    <cacheField name="total_spent" numFmtId="0">
      <sharedItems containsSemiMixedTypes="0" containsString="0" containsNumber="1" minValue="1570.88" maxValue="33041.360000000001"/>
    </cacheField>
    <cacheField name="num_transactions" numFmtId="0">
      <sharedItems containsSemiMixedTypes="0" containsString="0" containsNumber="1" containsInteger="1" minValue="21" maxValue="105"/>
    </cacheField>
    <cacheField name="pct_of_total" numFmtId="0">
      <sharedItems containsSemiMixedTypes="0" containsString="0" containsNumber="1" minValue="1.63" maxValue="34.39" count="10">
        <n v="34.39"/>
        <n v="25.76"/>
        <n v="19.87"/>
        <n v="2.91"/>
        <n v="2.89"/>
        <n v="2.72"/>
        <n v="2.0499999999999998"/>
        <n v="1.79"/>
        <n v="1.75"/>
        <n v="1.6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18"/>
    <n v="1"/>
    <x v="0"/>
    <n v="0"/>
    <n v="0"/>
    <n v="0"/>
  </r>
  <r>
    <n v="2018"/>
    <n v="2"/>
    <x v="1"/>
    <n v="0"/>
    <n v="0"/>
    <n v="0"/>
  </r>
  <r>
    <n v="2018"/>
    <n v="3"/>
    <x v="2"/>
    <n v="0"/>
    <n v="0"/>
    <n v="0"/>
  </r>
  <r>
    <n v="2018"/>
    <n v="4"/>
    <x v="3"/>
    <n v="0"/>
    <n v="0"/>
    <n v="0"/>
  </r>
  <r>
    <n v="2018"/>
    <n v="5"/>
    <x v="4"/>
    <n v="0"/>
    <n v="0"/>
    <n v="0"/>
  </r>
  <r>
    <n v="2018"/>
    <n v="6"/>
    <x v="5"/>
    <n v="0"/>
    <n v="0"/>
    <n v="0"/>
  </r>
  <r>
    <n v="2018"/>
    <n v="7"/>
    <x v="6"/>
    <n v="0"/>
    <n v="0"/>
    <n v="0"/>
  </r>
  <r>
    <n v="2018"/>
    <n v="8"/>
    <x v="7"/>
    <n v="0"/>
    <n v="0"/>
    <n v="0"/>
  </r>
  <r>
    <n v="2018"/>
    <n v="9"/>
    <x v="8"/>
    <n v="0"/>
    <n v="0"/>
    <n v="0"/>
  </r>
  <r>
    <n v="2018"/>
    <n v="10"/>
    <x v="9"/>
    <n v="0"/>
    <n v="0"/>
    <n v="0"/>
  </r>
  <r>
    <n v="2018"/>
    <n v="11"/>
    <x v="10"/>
    <n v="0"/>
    <n v="0"/>
    <n v="0"/>
  </r>
  <r>
    <n v="2018"/>
    <n v="12"/>
    <x v="11"/>
    <n v="0"/>
    <n v="0"/>
    <n v="0"/>
  </r>
  <r>
    <n v="2019"/>
    <n v="1"/>
    <x v="0"/>
    <n v="0"/>
    <n v="0"/>
    <n v="0"/>
  </r>
  <r>
    <n v="2019"/>
    <n v="2"/>
    <x v="1"/>
    <n v="0"/>
    <n v="0"/>
    <n v="0"/>
  </r>
  <r>
    <n v="2019"/>
    <n v="3"/>
    <x v="2"/>
    <n v="0"/>
    <n v="0"/>
    <n v="0"/>
  </r>
  <r>
    <n v="2019"/>
    <n v="4"/>
    <x v="3"/>
    <n v="0"/>
    <n v="0"/>
    <n v="0"/>
  </r>
  <r>
    <n v="2019"/>
    <n v="5"/>
    <x v="4"/>
    <n v="0"/>
    <n v="0"/>
    <n v="0"/>
  </r>
  <r>
    <n v="2019"/>
    <n v="6"/>
    <x v="5"/>
    <n v="0"/>
    <n v="0"/>
    <n v="0"/>
  </r>
  <r>
    <n v="2019"/>
    <n v="7"/>
    <x v="6"/>
    <n v="0"/>
    <n v="0"/>
    <n v="0"/>
  </r>
  <r>
    <n v="2019"/>
    <n v="8"/>
    <x v="7"/>
    <n v="0"/>
    <n v="0"/>
    <n v="0"/>
  </r>
  <r>
    <n v="2019"/>
    <n v="9"/>
    <x v="8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3041.360000000001"/>
    <n v="71"/>
    <x v="0"/>
  </r>
  <r>
    <x v="1"/>
    <n v="24754.5"/>
    <n v="21"/>
    <x v="1"/>
  </r>
  <r>
    <x v="2"/>
    <n v="19092.87"/>
    <n v="36"/>
    <x v="2"/>
  </r>
  <r>
    <x v="3"/>
    <n v="2795.21"/>
    <n v="105"/>
    <x v="3"/>
  </r>
  <r>
    <x v="4"/>
    <n v="2776"/>
    <n v="63"/>
    <x v="4"/>
  </r>
  <r>
    <x v="5"/>
    <n v="2613.02"/>
    <n v="81"/>
    <x v="5"/>
  </r>
  <r>
    <x v="6"/>
    <n v="1973.24"/>
    <n v="60"/>
    <x v="6"/>
  </r>
  <r>
    <x v="7"/>
    <n v="1715.17"/>
    <n v="52"/>
    <x v="7"/>
  </r>
  <r>
    <x v="8"/>
    <n v="1680.4"/>
    <n v="21"/>
    <x v="8"/>
  </r>
  <r>
    <x v="9"/>
    <n v="1570.88"/>
    <n v="2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89C45-FEA3-4F11-B790-105F88D986E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6" firstHeaderRow="0" firstDataRow="1" firstDataCol="1"/>
  <pivotFields count="6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income" fld="3" baseField="0" baseItem="0"/>
    <dataField name="Sum of total_expense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BCB0C-7563-48D1-BE43-98CC7226952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6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_saving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DBEE7-0760-4726-B6E0-16D84666795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" firstHeaderRow="0" firstDataRow="1" firstDataCol="1"/>
  <pivotFields count="4">
    <pivotField axis="axisRow" showAll="0">
      <items count="11">
        <item x="0"/>
        <item x="7"/>
        <item x="3"/>
        <item x="2"/>
        <item x="9"/>
        <item x="8"/>
        <item x="1"/>
        <item x="5"/>
        <item x="6"/>
        <item x="4"/>
        <item t="default"/>
      </items>
    </pivotField>
    <pivotField dataField="1" showAll="0"/>
    <pivotField showAll="0"/>
    <pivotField dataField="1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pent" fld="1" baseField="0" baseItem="0"/>
    <dataField name="Sum of pct_of_total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C68A6A7-1AF7-4EE4-9462-EAE47A3D3473}" autoFormatId="16" applyNumberFormats="0" applyBorderFormats="0" applyFontFormats="0" applyPatternFormats="0" applyAlignmentFormats="0" applyWidthHeightFormats="0">
  <queryTableRefresh nextId="7">
    <queryTableFields count="6">
      <queryTableField id="1" name="yr" tableColumnId="1"/>
      <queryTableField id="2" name="mo" tableColumnId="2"/>
      <queryTableField id="3" name="month_name" tableColumnId="3"/>
      <queryTableField id="4" name="total_income" tableColumnId="4"/>
      <queryTableField id="5" name="total_expense" tableColumnId="5"/>
      <queryTableField id="6" name="net_saving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CF93A3-BCF1-4D2F-81E4-61092B799FA3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total_spent" tableColumnId="2"/>
      <queryTableField id="3" name="num_transactions" tableColumnId="3"/>
      <queryTableField id="4" name="pct_of_tot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81DE0-35C7-4405-A3F9-60A1F3F665CB}" autoFormatId="16" applyNumberFormats="0" applyBorderFormats="0" applyFontFormats="0" applyPatternFormats="0" applyAlignmentFormats="0" applyWidthHeightFormats="0">
  <queryTableRefresh nextId="7">
    <queryTableFields count="6">
      <queryTableField id="1" name="txn_date" tableColumnId="1"/>
      <queryTableField id="2" name="category" tableColumnId="2"/>
      <queryTableField id="3" name="description" tableColumnId="3"/>
      <queryTableField id="4" name="amount" tableColumnId="4"/>
      <queryTableField id="5" name="category_avg" tableColumnId="5"/>
      <queryTableField id="6" name="above_avg_b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75FCA-5772-43F2-8ADF-A40D364F6F47}" name="Monthly_trend" displayName="Monthly_trend" ref="A1:F22" tableType="queryTable" totalsRowShown="0">
  <autoFilter ref="A1:F22" xr:uid="{61C75FCA-5772-43F2-8ADF-A40D364F6F47}"/>
  <tableColumns count="6">
    <tableColumn id="1" xr3:uid="{0CB1CB86-E5B7-4F31-84DD-1D05E8F2DDAB}" uniqueName="1" name="yr" queryTableFieldId="1"/>
    <tableColumn id="2" xr3:uid="{823813F5-02F9-4380-B4F5-0B0CD46196A0}" uniqueName="2" name="mo" queryTableFieldId="2"/>
    <tableColumn id="3" xr3:uid="{82C40A38-4D14-4D16-90A9-7C3F97CDBB9D}" uniqueName="3" name="month_name" queryTableFieldId="3" dataDxfId="4"/>
    <tableColumn id="4" xr3:uid="{5D4B8B98-FDE1-4847-8684-F9EB1DA838A6}" uniqueName="4" name="total_income" queryTableFieldId="4"/>
    <tableColumn id="5" xr3:uid="{B30006A9-A406-44E6-8C3A-DC67EF99450A}" uniqueName="5" name="total_expense" queryTableFieldId="5"/>
    <tableColumn id="6" xr3:uid="{82BB91BF-61B3-47A5-A8E5-F4EDDA9B8325}" uniqueName="6" name="net_savings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165117-B827-4F5B-9602-87B6EA47F174}" name="Category_summary" displayName="Category_summary" ref="A1:D11" tableType="queryTable" totalsRowShown="0">
  <autoFilter ref="A1:D11" xr:uid="{28165117-B827-4F5B-9602-87B6EA47F174}"/>
  <tableColumns count="4">
    <tableColumn id="1" xr3:uid="{E37B75A6-F64D-46A4-8F1B-2D49B6628014}" uniqueName="1" name="category" queryTableFieldId="1" dataDxfId="3"/>
    <tableColumn id="2" xr3:uid="{8C738F72-F592-4B90-AF0B-1FDFB551E331}" uniqueName="2" name="total_spent" queryTableFieldId="2"/>
    <tableColumn id="3" xr3:uid="{E0B82D46-7AA1-472E-BF26-55C6803A68E4}" uniqueName="3" name="num_transactions" queryTableFieldId="3"/>
    <tableColumn id="4" xr3:uid="{3AB0D01B-4BAF-4EE2-92D3-20E50FD074D9}" uniqueName="4" name="pct_of_total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C9080-B3C1-459F-B791-A16A47A5237B}" name="Anomiles" displayName="Anomiles" ref="A1:F11" tableType="queryTable" totalsRowShown="0">
  <autoFilter ref="A1:F11" xr:uid="{A93C9080-B3C1-459F-B791-A16A47A5237B}"/>
  <tableColumns count="6">
    <tableColumn id="1" xr3:uid="{BB55446A-6EBC-4EE8-AC0D-9B45218FA483}" uniqueName="1" name="txn_date" queryTableFieldId="1" dataDxfId="2"/>
    <tableColumn id="2" xr3:uid="{B600D845-5200-47AC-A156-158673EBFFC7}" uniqueName="2" name="category" queryTableFieldId="2" dataDxfId="1"/>
    <tableColumn id="3" xr3:uid="{A094D24E-D66B-4F05-B898-7556D608166E}" uniqueName="3" name="description" queryTableFieldId="3" dataDxfId="0"/>
    <tableColumn id="4" xr3:uid="{7FBDE4A9-127B-45DA-85C4-67D0536A5B26}" uniqueName="4" name="amount" queryTableFieldId="4"/>
    <tableColumn id="5" xr3:uid="{F60F34D9-782B-47F8-96B1-C054BA73F98C}" uniqueName="5" name="category_avg" queryTableFieldId="5"/>
    <tableColumn id="6" xr3:uid="{21AFA21A-7858-41F4-A112-1A9A0D4117E6}" uniqueName="6" name="above_avg_by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2D1E-1907-4043-9975-4835BAB15F70}">
  <dimension ref="A3:C16"/>
  <sheetViews>
    <sheetView workbookViewId="0">
      <selection activeCell="C25" sqref="C25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9.44140625" bestFit="1" customWidth="1"/>
  </cols>
  <sheetData>
    <row r="3" spans="1:3" x14ac:dyDescent="0.3">
      <c r="A3" s="3" t="s">
        <v>38</v>
      </c>
      <c r="B3" t="s">
        <v>40</v>
      </c>
      <c r="C3" t="s">
        <v>41</v>
      </c>
    </row>
    <row r="4" spans="1:3" x14ac:dyDescent="0.3">
      <c r="A4" s="4" t="s">
        <v>6</v>
      </c>
      <c r="B4" s="1">
        <v>0</v>
      </c>
      <c r="C4" s="1">
        <v>0</v>
      </c>
    </row>
    <row r="5" spans="1:3" x14ac:dyDescent="0.3">
      <c r="A5" s="4" t="s">
        <v>7</v>
      </c>
      <c r="B5" s="1">
        <v>0</v>
      </c>
      <c r="C5" s="1">
        <v>0</v>
      </c>
    </row>
    <row r="6" spans="1:3" x14ac:dyDescent="0.3">
      <c r="A6" s="4" t="s">
        <v>8</v>
      </c>
      <c r="B6" s="1">
        <v>0</v>
      </c>
      <c r="C6" s="1">
        <v>0</v>
      </c>
    </row>
    <row r="7" spans="1:3" x14ac:dyDescent="0.3">
      <c r="A7" s="4" t="s">
        <v>9</v>
      </c>
      <c r="B7" s="1">
        <v>0</v>
      </c>
      <c r="C7" s="1">
        <v>0</v>
      </c>
    </row>
    <row r="8" spans="1:3" x14ac:dyDescent="0.3">
      <c r="A8" s="4" t="s">
        <v>10</v>
      </c>
      <c r="B8" s="1">
        <v>0</v>
      </c>
      <c r="C8" s="1">
        <v>0</v>
      </c>
    </row>
    <row r="9" spans="1:3" x14ac:dyDescent="0.3">
      <c r="A9" s="4" t="s">
        <v>11</v>
      </c>
      <c r="B9" s="1">
        <v>0</v>
      </c>
      <c r="C9" s="1">
        <v>0</v>
      </c>
    </row>
    <row r="10" spans="1:3" x14ac:dyDescent="0.3">
      <c r="A10" s="4" t="s">
        <v>12</v>
      </c>
      <c r="B10" s="1">
        <v>0</v>
      </c>
      <c r="C10" s="1">
        <v>0</v>
      </c>
    </row>
    <row r="11" spans="1:3" x14ac:dyDescent="0.3">
      <c r="A11" s="4" t="s">
        <v>13</v>
      </c>
      <c r="B11" s="1">
        <v>0</v>
      </c>
      <c r="C11" s="1">
        <v>0</v>
      </c>
    </row>
    <row r="12" spans="1:3" x14ac:dyDescent="0.3">
      <c r="A12" s="4" t="s">
        <v>14</v>
      </c>
      <c r="B12" s="1">
        <v>0</v>
      </c>
      <c r="C12" s="1">
        <v>0</v>
      </c>
    </row>
    <row r="13" spans="1:3" x14ac:dyDescent="0.3">
      <c r="A13" s="4" t="s">
        <v>15</v>
      </c>
      <c r="B13" s="1">
        <v>0</v>
      </c>
      <c r="C13" s="1">
        <v>0</v>
      </c>
    </row>
    <row r="14" spans="1:3" x14ac:dyDescent="0.3">
      <c r="A14" s="4" t="s">
        <v>16</v>
      </c>
      <c r="B14" s="1">
        <v>0</v>
      </c>
      <c r="C14" s="1">
        <v>0</v>
      </c>
    </row>
    <row r="15" spans="1:3" x14ac:dyDescent="0.3">
      <c r="A15" s="4" t="s">
        <v>17</v>
      </c>
      <c r="B15" s="1">
        <v>0</v>
      </c>
      <c r="C15" s="1">
        <v>0</v>
      </c>
    </row>
    <row r="16" spans="1:3" x14ac:dyDescent="0.3">
      <c r="A16" s="4" t="s">
        <v>39</v>
      </c>
      <c r="B16" s="1">
        <v>0</v>
      </c>
      <c r="C16" s="1"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2015-65E9-41D1-9530-8E122ECFA26C}">
  <dimension ref="A3:B16"/>
  <sheetViews>
    <sheetView workbookViewId="0">
      <selection activeCell="B22" sqref="B22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3" t="s">
        <v>38</v>
      </c>
      <c r="B3" t="s">
        <v>44</v>
      </c>
    </row>
    <row r="4" spans="1:2" x14ac:dyDescent="0.3">
      <c r="A4" s="4" t="s">
        <v>6</v>
      </c>
      <c r="B4" s="1">
        <v>0</v>
      </c>
    </row>
    <row r="5" spans="1:2" x14ac:dyDescent="0.3">
      <c r="A5" s="4" t="s">
        <v>7</v>
      </c>
      <c r="B5" s="1">
        <v>0</v>
      </c>
    </row>
    <row r="6" spans="1:2" x14ac:dyDescent="0.3">
      <c r="A6" s="4" t="s">
        <v>8</v>
      </c>
      <c r="B6" s="1">
        <v>0</v>
      </c>
    </row>
    <row r="7" spans="1:2" x14ac:dyDescent="0.3">
      <c r="A7" s="4" t="s">
        <v>9</v>
      </c>
      <c r="B7" s="1">
        <v>0</v>
      </c>
    </row>
    <row r="8" spans="1:2" x14ac:dyDescent="0.3">
      <c r="A8" s="4" t="s">
        <v>10</v>
      </c>
      <c r="B8" s="1">
        <v>0</v>
      </c>
    </row>
    <row r="9" spans="1:2" x14ac:dyDescent="0.3">
      <c r="A9" s="4" t="s">
        <v>11</v>
      </c>
      <c r="B9" s="1">
        <v>0</v>
      </c>
    </row>
    <row r="10" spans="1:2" x14ac:dyDescent="0.3">
      <c r="A10" s="4" t="s">
        <v>12</v>
      </c>
      <c r="B10" s="1">
        <v>0</v>
      </c>
    </row>
    <row r="11" spans="1:2" x14ac:dyDescent="0.3">
      <c r="A11" s="4" t="s">
        <v>13</v>
      </c>
      <c r="B11" s="1">
        <v>0</v>
      </c>
    </row>
    <row r="12" spans="1:2" x14ac:dyDescent="0.3">
      <c r="A12" s="4" t="s">
        <v>14</v>
      </c>
      <c r="B12" s="1">
        <v>0</v>
      </c>
    </row>
    <row r="13" spans="1:2" x14ac:dyDescent="0.3">
      <c r="A13" s="4" t="s">
        <v>15</v>
      </c>
      <c r="B13" s="1">
        <v>0</v>
      </c>
    </row>
    <row r="14" spans="1:2" x14ac:dyDescent="0.3">
      <c r="A14" s="4" t="s">
        <v>16</v>
      </c>
      <c r="B14" s="1">
        <v>0</v>
      </c>
    </row>
    <row r="15" spans="1:2" x14ac:dyDescent="0.3">
      <c r="A15" s="4" t="s">
        <v>17</v>
      </c>
      <c r="B15" s="1">
        <v>0</v>
      </c>
    </row>
    <row r="16" spans="1:2" x14ac:dyDescent="0.3">
      <c r="A16" s="4" t="s">
        <v>39</v>
      </c>
      <c r="B16" s="1"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A2D6-303C-4DB2-84D5-E13E8CCAF7BD}">
  <dimension ref="A1:F22"/>
  <sheetViews>
    <sheetView zoomScale="85" zoomScaleNormal="85" workbookViewId="0">
      <selection activeCell="C6" sqref="C6"/>
    </sheetView>
  </sheetViews>
  <sheetFormatPr defaultRowHeight="14.4" x14ac:dyDescent="0.3"/>
  <cols>
    <col min="1" max="1" width="5" bestFit="1" customWidth="1"/>
    <col min="2" max="2" width="6" bestFit="1" customWidth="1"/>
    <col min="3" max="3" width="14.6640625" bestFit="1" customWidth="1"/>
    <col min="4" max="4" width="14.33203125" bestFit="1" customWidth="1"/>
    <col min="5" max="5" width="15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2018</v>
      </c>
      <c r="B2">
        <v>1</v>
      </c>
      <c r="C2" s="1" t="s">
        <v>6</v>
      </c>
      <c r="D2">
        <v>0</v>
      </c>
      <c r="E2">
        <v>0</v>
      </c>
      <c r="F2">
        <v>0</v>
      </c>
    </row>
    <row r="3" spans="1:6" x14ac:dyDescent="0.3">
      <c r="A3">
        <v>2018</v>
      </c>
      <c r="B3">
        <v>2</v>
      </c>
      <c r="C3" s="1" t="s">
        <v>7</v>
      </c>
      <c r="D3">
        <v>0</v>
      </c>
      <c r="E3">
        <v>0</v>
      </c>
      <c r="F3">
        <v>0</v>
      </c>
    </row>
    <row r="4" spans="1:6" x14ac:dyDescent="0.3">
      <c r="A4">
        <v>2018</v>
      </c>
      <c r="B4">
        <v>3</v>
      </c>
      <c r="C4" s="1" t="s">
        <v>8</v>
      </c>
      <c r="D4">
        <v>0</v>
      </c>
      <c r="E4">
        <v>0</v>
      </c>
      <c r="F4">
        <v>0</v>
      </c>
    </row>
    <row r="5" spans="1:6" x14ac:dyDescent="0.3">
      <c r="A5">
        <v>2018</v>
      </c>
      <c r="B5">
        <v>4</v>
      </c>
      <c r="C5" s="1" t="s">
        <v>9</v>
      </c>
      <c r="D5">
        <v>0</v>
      </c>
      <c r="E5">
        <v>0</v>
      </c>
      <c r="F5">
        <v>0</v>
      </c>
    </row>
    <row r="6" spans="1:6" x14ac:dyDescent="0.3">
      <c r="A6">
        <v>2018</v>
      </c>
      <c r="B6">
        <v>5</v>
      </c>
      <c r="C6" s="1" t="s">
        <v>10</v>
      </c>
      <c r="D6">
        <v>0</v>
      </c>
      <c r="E6">
        <v>0</v>
      </c>
      <c r="F6">
        <v>0</v>
      </c>
    </row>
    <row r="7" spans="1:6" x14ac:dyDescent="0.3">
      <c r="A7">
        <v>2018</v>
      </c>
      <c r="B7">
        <v>6</v>
      </c>
      <c r="C7" s="1" t="s">
        <v>11</v>
      </c>
      <c r="D7">
        <v>0</v>
      </c>
      <c r="E7">
        <v>0</v>
      </c>
      <c r="F7">
        <v>0</v>
      </c>
    </row>
    <row r="8" spans="1:6" x14ac:dyDescent="0.3">
      <c r="A8">
        <v>2018</v>
      </c>
      <c r="B8">
        <v>7</v>
      </c>
      <c r="C8" s="1" t="s">
        <v>12</v>
      </c>
      <c r="D8">
        <v>0</v>
      </c>
      <c r="E8">
        <v>0</v>
      </c>
      <c r="F8">
        <v>0</v>
      </c>
    </row>
    <row r="9" spans="1:6" x14ac:dyDescent="0.3">
      <c r="A9">
        <v>2018</v>
      </c>
      <c r="B9">
        <v>8</v>
      </c>
      <c r="C9" s="1" t="s">
        <v>13</v>
      </c>
      <c r="D9">
        <v>0</v>
      </c>
      <c r="E9">
        <v>0</v>
      </c>
      <c r="F9">
        <v>0</v>
      </c>
    </row>
    <row r="10" spans="1:6" x14ac:dyDescent="0.3">
      <c r="A10">
        <v>2018</v>
      </c>
      <c r="B10">
        <v>9</v>
      </c>
      <c r="C10" s="1" t="s">
        <v>14</v>
      </c>
      <c r="D10">
        <v>0</v>
      </c>
      <c r="E10">
        <v>0</v>
      </c>
      <c r="F10">
        <v>0</v>
      </c>
    </row>
    <row r="11" spans="1:6" x14ac:dyDescent="0.3">
      <c r="A11">
        <v>2018</v>
      </c>
      <c r="B11">
        <v>10</v>
      </c>
      <c r="C11" s="1" t="s">
        <v>15</v>
      </c>
      <c r="D11">
        <v>0</v>
      </c>
      <c r="E11">
        <v>0</v>
      </c>
      <c r="F11">
        <v>0</v>
      </c>
    </row>
    <row r="12" spans="1:6" x14ac:dyDescent="0.3">
      <c r="A12">
        <v>2018</v>
      </c>
      <c r="B12">
        <v>11</v>
      </c>
      <c r="C12" s="1" t="s">
        <v>16</v>
      </c>
      <c r="D12">
        <v>0</v>
      </c>
      <c r="E12">
        <v>0</v>
      </c>
      <c r="F12">
        <v>0</v>
      </c>
    </row>
    <row r="13" spans="1:6" x14ac:dyDescent="0.3">
      <c r="A13">
        <v>2018</v>
      </c>
      <c r="B13">
        <v>12</v>
      </c>
      <c r="C13" s="1" t="s">
        <v>17</v>
      </c>
      <c r="D13">
        <v>0</v>
      </c>
      <c r="E13">
        <v>0</v>
      </c>
      <c r="F13">
        <v>0</v>
      </c>
    </row>
    <row r="14" spans="1:6" x14ac:dyDescent="0.3">
      <c r="A14">
        <v>2019</v>
      </c>
      <c r="B14">
        <v>1</v>
      </c>
      <c r="C14" s="1" t="s">
        <v>6</v>
      </c>
      <c r="D14">
        <v>0</v>
      </c>
      <c r="E14">
        <v>0</v>
      </c>
      <c r="F14">
        <v>0</v>
      </c>
    </row>
    <row r="15" spans="1:6" x14ac:dyDescent="0.3">
      <c r="A15">
        <v>2019</v>
      </c>
      <c r="B15">
        <v>2</v>
      </c>
      <c r="C15" s="1" t="s">
        <v>7</v>
      </c>
      <c r="D15">
        <v>0</v>
      </c>
      <c r="E15">
        <v>0</v>
      </c>
      <c r="F15">
        <v>0</v>
      </c>
    </row>
    <row r="16" spans="1:6" x14ac:dyDescent="0.3">
      <c r="A16">
        <v>2019</v>
      </c>
      <c r="B16">
        <v>3</v>
      </c>
      <c r="C16" s="1" t="s">
        <v>8</v>
      </c>
      <c r="D16">
        <v>0</v>
      </c>
      <c r="E16">
        <v>0</v>
      </c>
      <c r="F16">
        <v>0</v>
      </c>
    </row>
    <row r="17" spans="1:6" x14ac:dyDescent="0.3">
      <c r="A17">
        <v>2019</v>
      </c>
      <c r="B17">
        <v>4</v>
      </c>
      <c r="C17" s="1" t="s">
        <v>9</v>
      </c>
      <c r="D17">
        <v>0</v>
      </c>
      <c r="E17">
        <v>0</v>
      </c>
      <c r="F17">
        <v>0</v>
      </c>
    </row>
    <row r="18" spans="1:6" x14ac:dyDescent="0.3">
      <c r="A18">
        <v>2019</v>
      </c>
      <c r="B18">
        <v>5</v>
      </c>
      <c r="C18" s="1" t="s">
        <v>10</v>
      </c>
      <c r="D18">
        <v>0</v>
      </c>
      <c r="E18">
        <v>0</v>
      </c>
      <c r="F18">
        <v>0</v>
      </c>
    </row>
    <row r="19" spans="1:6" x14ac:dyDescent="0.3">
      <c r="A19">
        <v>2019</v>
      </c>
      <c r="B19">
        <v>6</v>
      </c>
      <c r="C19" s="1" t="s">
        <v>11</v>
      </c>
      <c r="D19">
        <v>0</v>
      </c>
      <c r="E19">
        <v>0</v>
      </c>
      <c r="F19">
        <v>0</v>
      </c>
    </row>
    <row r="20" spans="1:6" x14ac:dyDescent="0.3">
      <c r="A20">
        <v>2019</v>
      </c>
      <c r="B20">
        <v>7</v>
      </c>
      <c r="C20" s="1" t="s">
        <v>12</v>
      </c>
      <c r="D20">
        <v>0</v>
      </c>
      <c r="E20">
        <v>0</v>
      </c>
      <c r="F20">
        <v>0</v>
      </c>
    </row>
    <row r="21" spans="1:6" x14ac:dyDescent="0.3">
      <c r="A21">
        <v>2019</v>
      </c>
      <c r="B21">
        <v>8</v>
      </c>
      <c r="C21" s="1" t="s">
        <v>13</v>
      </c>
      <c r="D21">
        <v>0</v>
      </c>
      <c r="E21">
        <v>0</v>
      </c>
      <c r="F21">
        <v>0</v>
      </c>
    </row>
    <row r="22" spans="1:6" x14ac:dyDescent="0.3">
      <c r="A22">
        <v>2019</v>
      </c>
      <c r="B22">
        <v>9</v>
      </c>
      <c r="C22" s="1" t="s">
        <v>14</v>
      </c>
      <c r="D22">
        <v>0</v>
      </c>
      <c r="E22">
        <v>0</v>
      </c>
      <c r="F2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8AF-4019-4C07-9625-F536E6958AF6}">
  <dimension ref="A3:C14"/>
  <sheetViews>
    <sheetView workbookViewId="0">
      <selection activeCell="P3" sqref="P3"/>
    </sheetView>
  </sheetViews>
  <sheetFormatPr defaultRowHeight="14.4" x14ac:dyDescent="0.3"/>
  <cols>
    <col min="1" max="1" width="17.88671875" bestFit="1" customWidth="1"/>
    <col min="2" max="2" width="17.21875" bestFit="1" customWidth="1"/>
    <col min="3" max="3" width="18" bestFit="1" customWidth="1"/>
  </cols>
  <sheetData>
    <row r="3" spans="1:3" x14ac:dyDescent="0.3">
      <c r="A3" s="3" t="s">
        <v>38</v>
      </c>
      <c r="B3" t="s">
        <v>42</v>
      </c>
      <c r="C3" t="s">
        <v>43</v>
      </c>
    </row>
    <row r="4" spans="1:3" x14ac:dyDescent="0.3">
      <c r="A4" s="4" t="s">
        <v>22</v>
      </c>
      <c r="B4" s="1">
        <v>33041.360000000001</v>
      </c>
      <c r="C4" s="1">
        <v>34.39</v>
      </c>
    </row>
    <row r="5" spans="1:3" x14ac:dyDescent="0.3">
      <c r="A5" s="4" t="s">
        <v>29</v>
      </c>
      <c r="B5" s="1">
        <v>1715.17</v>
      </c>
      <c r="C5" s="1">
        <v>1.79</v>
      </c>
    </row>
    <row r="6" spans="1:3" x14ac:dyDescent="0.3">
      <c r="A6" s="4" t="s">
        <v>25</v>
      </c>
      <c r="B6" s="1">
        <v>2795.21</v>
      </c>
      <c r="C6" s="1">
        <v>2.91</v>
      </c>
    </row>
    <row r="7" spans="1:3" x14ac:dyDescent="0.3">
      <c r="A7" s="4" t="s">
        <v>24</v>
      </c>
      <c r="B7" s="1">
        <v>19092.87</v>
      </c>
      <c r="C7" s="1">
        <v>19.87</v>
      </c>
    </row>
    <row r="8" spans="1:3" x14ac:dyDescent="0.3">
      <c r="A8" s="4" t="s">
        <v>31</v>
      </c>
      <c r="B8" s="1">
        <v>1570.88</v>
      </c>
      <c r="C8" s="1">
        <v>1.63</v>
      </c>
    </row>
    <row r="9" spans="1:3" x14ac:dyDescent="0.3">
      <c r="A9" s="4" t="s">
        <v>30</v>
      </c>
      <c r="B9" s="1">
        <v>1680.4</v>
      </c>
      <c r="C9" s="1">
        <v>1.75</v>
      </c>
    </row>
    <row r="10" spans="1:3" x14ac:dyDescent="0.3">
      <c r="A10" s="4" t="s">
        <v>23</v>
      </c>
      <c r="B10" s="1">
        <v>24754.5</v>
      </c>
      <c r="C10" s="1">
        <v>25.76</v>
      </c>
    </row>
    <row r="11" spans="1:3" x14ac:dyDescent="0.3">
      <c r="A11" s="4" t="s">
        <v>27</v>
      </c>
      <c r="B11" s="1">
        <v>2613.02</v>
      </c>
      <c r="C11" s="1">
        <v>2.72</v>
      </c>
    </row>
    <row r="12" spans="1:3" x14ac:dyDescent="0.3">
      <c r="A12" s="4" t="s">
        <v>28</v>
      </c>
      <c r="B12" s="1">
        <v>1973.24</v>
      </c>
      <c r="C12" s="1">
        <v>2.0499999999999998</v>
      </c>
    </row>
    <row r="13" spans="1:3" x14ac:dyDescent="0.3">
      <c r="A13" s="4" t="s">
        <v>26</v>
      </c>
      <c r="B13" s="1">
        <v>2776</v>
      </c>
      <c r="C13" s="1">
        <v>2.89</v>
      </c>
    </row>
    <row r="14" spans="1:3" x14ac:dyDescent="0.3">
      <c r="A14" s="4" t="s">
        <v>39</v>
      </c>
      <c r="B14" s="1">
        <v>92012.650000000009</v>
      </c>
      <c r="C14" s="1">
        <v>95.76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72A7-8D33-4BD1-819D-9630AFB26D00}">
  <dimension ref="A1:D11"/>
  <sheetViews>
    <sheetView workbookViewId="0">
      <selection activeCell="C6" sqref="C6"/>
    </sheetView>
  </sheetViews>
  <sheetFormatPr defaultRowHeight="14.4" x14ac:dyDescent="0.3"/>
  <cols>
    <col min="1" max="1" width="17.88671875" bestFit="1" customWidth="1"/>
    <col min="2" max="2" width="12.77734375" bestFit="1" customWidth="1"/>
    <col min="3" max="3" width="18.44140625" bestFit="1" customWidth="1"/>
    <col min="4" max="4" width="13.5546875" bestFit="1" customWidth="1"/>
  </cols>
  <sheetData>
    <row r="1" spans="1:4" x14ac:dyDescent="0.3">
      <c r="A1" t="s">
        <v>18</v>
      </c>
      <c r="B1" t="s">
        <v>19</v>
      </c>
      <c r="C1" t="s">
        <v>20</v>
      </c>
      <c r="D1" t="s">
        <v>21</v>
      </c>
    </row>
    <row r="2" spans="1:4" x14ac:dyDescent="0.3">
      <c r="A2" s="1" t="s">
        <v>22</v>
      </c>
      <c r="B2">
        <v>33041.360000000001</v>
      </c>
      <c r="C2">
        <v>71</v>
      </c>
      <c r="D2">
        <v>34.39</v>
      </c>
    </row>
    <row r="3" spans="1:4" x14ac:dyDescent="0.3">
      <c r="A3" s="1" t="s">
        <v>23</v>
      </c>
      <c r="B3">
        <v>24754.5</v>
      </c>
      <c r="C3">
        <v>21</v>
      </c>
      <c r="D3">
        <v>25.76</v>
      </c>
    </row>
    <row r="4" spans="1:4" x14ac:dyDescent="0.3">
      <c r="A4" s="1" t="s">
        <v>24</v>
      </c>
      <c r="B4">
        <v>19092.87</v>
      </c>
      <c r="C4">
        <v>36</v>
      </c>
      <c r="D4">
        <v>19.87</v>
      </c>
    </row>
    <row r="5" spans="1:4" x14ac:dyDescent="0.3">
      <c r="A5" s="1" t="s">
        <v>25</v>
      </c>
      <c r="B5">
        <v>2795.21</v>
      </c>
      <c r="C5">
        <v>105</v>
      </c>
      <c r="D5">
        <v>2.91</v>
      </c>
    </row>
    <row r="6" spans="1:4" x14ac:dyDescent="0.3">
      <c r="A6" s="1" t="s">
        <v>26</v>
      </c>
      <c r="B6">
        <v>2776</v>
      </c>
      <c r="C6">
        <v>63</v>
      </c>
      <c r="D6">
        <v>2.89</v>
      </c>
    </row>
    <row r="7" spans="1:4" x14ac:dyDescent="0.3">
      <c r="A7" s="1" t="s">
        <v>27</v>
      </c>
      <c r="B7">
        <v>2613.02</v>
      </c>
      <c r="C7">
        <v>81</v>
      </c>
      <c r="D7">
        <v>2.72</v>
      </c>
    </row>
    <row r="8" spans="1:4" x14ac:dyDescent="0.3">
      <c r="A8" s="1" t="s">
        <v>28</v>
      </c>
      <c r="B8">
        <v>1973.24</v>
      </c>
      <c r="C8">
        <v>60</v>
      </c>
      <c r="D8">
        <v>2.0499999999999998</v>
      </c>
    </row>
    <row r="9" spans="1:4" x14ac:dyDescent="0.3">
      <c r="A9" s="1" t="s">
        <v>29</v>
      </c>
      <c r="B9">
        <v>1715.17</v>
      </c>
      <c r="C9">
        <v>52</v>
      </c>
      <c r="D9">
        <v>1.79</v>
      </c>
    </row>
    <row r="10" spans="1:4" x14ac:dyDescent="0.3">
      <c r="A10" s="1" t="s">
        <v>30</v>
      </c>
      <c r="B10">
        <v>1680.4</v>
      </c>
      <c r="C10">
        <v>21</v>
      </c>
      <c r="D10">
        <v>1.75</v>
      </c>
    </row>
    <row r="11" spans="1:4" x14ac:dyDescent="0.3">
      <c r="A11" s="1" t="s">
        <v>31</v>
      </c>
      <c r="B11">
        <v>1570.88</v>
      </c>
      <c r="C11">
        <v>21</v>
      </c>
      <c r="D11">
        <v>1.63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00C8-83D6-4FC4-B57B-610F46AC6BAA}">
  <dimension ref="A1:F11"/>
  <sheetViews>
    <sheetView tabSelected="1" workbookViewId="0">
      <selection activeCell="F2" sqref="F2:F11"/>
    </sheetView>
  </sheetViews>
  <sheetFormatPr defaultRowHeight="14.4" x14ac:dyDescent="0.3"/>
  <cols>
    <col min="1" max="1" width="10.6640625" bestFit="1" customWidth="1"/>
    <col min="2" max="2" width="17.88671875" bestFit="1" customWidth="1"/>
    <col min="3" max="3" width="20.5546875" bestFit="1" customWidth="1"/>
    <col min="4" max="4" width="9.88671875" bestFit="1" customWidth="1"/>
    <col min="5" max="5" width="14.5546875" bestFit="1" customWidth="1"/>
    <col min="6" max="6" width="15.6640625" bestFit="1" customWidth="1"/>
  </cols>
  <sheetData>
    <row r="1" spans="1:6" x14ac:dyDescent="0.3">
      <c r="A1" t="s">
        <v>32</v>
      </c>
      <c r="B1" t="s">
        <v>18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 s="2">
        <v>43636</v>
      </c>
      <c r="B2" s="1" t="s">
        <v>24</v>
      </c>
      <c r="C2" s="1" t="s">
        <v>37</v>
      </c>
      <c r="D2">
        <v>9200</v>
      </c>
      <c r="E2">
        <v>530.36</v>
      </c>
      <c r="F2">
        <v>8669.64</v>
      </c>
    </row>
    <row r="3" spans="1:6" x14ac:dyDescent="0.3">
      <c r="A3" s="2">
        <v>43231</v>
      </c>
      <c r="B3" s="1" t="s">
        <v>24</v>
      </c>
      <c r="C3" s="1" t="s">
        <v>37</v>
      </c>
      <c r="D3">
        <v>8000</v>
      </c>
      <c r="E3">
        <v>530.36</v>
      </c>
      <c r="F3">
        <v>7469.64</v>
      </c>
    </row>
    <row r="4" spans="1:6" x14ac:dyDescent="0.3">
      <c r="A4" s="2">
        <v>43496</v>
      </c>
      <c r="B4" s="1" t="s">
        <v>22</v>
      </c>
      <c r="C4" s="1" t="s">
        <v>22</v>
      </c>
      <c r="D4">
        <v>1900</v>
      </c>
      <c r="E4">
        <v>465.37</v>
      </c>
      <c r="F4">
        <v>1434.63</v>
      </c>
    </row>
    <row r="5" spans="1:6" x14ac:dyDescent="0.3">
      <c r="A5" s="2">
        <v>43726</v>
      </c>
      <c r="B5" s="1" t="s">
        <v>22</v>
      </c>
      <c r="C5" s="1" t="s">
        <v>22</v>
      </c>
      <c r="D5">
        <v>1606.46</v>
      </c>
      <c r="E5">
        <v>465.37</v>
      </c>
      <c r="F5">
        <v>1141.0899999999999</v>
      </c>
    </row>
    <row r="6" spans="1:6" x14ac:dyDescent="0.3">
      <c r="A6" s="2">
        <v>43556</v>
      </c>
      <c r="B6" s="1" t="s">
        <v>22</v>
      </c>
      <c r="C6" s="1" t="s">
        <v>22</v>
      </c>
      <c r="D6">
        <v>1552.65</v>
      </c>
      <c r="E6">
        <v>465.37</v>
      </c>
      <c r="F6">
        <v>1087.28</v>
      </c>
    </row>
    <row r="7" spans="1:6" x14ac:dyDescent="0.3">
      <c r="A7" s="2">
        <v>43714</v>
      </c>
      <c r="B7" s="1" t="s">
        <v>22</v>
      </c>
      <c r="C7" s="1" t="s">
        <v>22</v>
      </c>
      <c r="D7">
        <v>1390.37</v>
      </c>
      <c r="E7">
        <v>465.37</v>
      </c>
      <c r="F7">
        <v>925</v>
      </c>
    </row>
    <row r="8" spans="1:6" x14ac:dyDescent="0.3">
      <c r="A8" s="2">
        <v>43696</v>
      </c>
      <c r="B8" s="1" t="s">
        <v>22</v>
      </c>
      <c r="C8" s="1" t="s">
        <v>22</v>
      </c>
      <c r="D8">
        <v>1248.95</v>
      </c>
      <c r="E8">
        <v>465.37</v>
      </c>
      <c r="F8">
        <v>783.58</v>
      </c>
    </row>
    <row r="9" spans="1:6" x14ac:dyDescent="0.3">
      <c r="A9" s="2">
        <v>43216</v>
      </c>
      <c r="B9" s="1" t="s">
        <v>22</v>
      </c>
      <c r="C9" s="1" t="s">
        <v>22</v>
      </c>
      <c r="D9">
        <v>1216.94</v>
      </c>
      <c r="E9">
        <v>465.37</v>
      </c>
      <c r="F9">
        <v>751.57</v>
      </c>
    </row>
    <row r="10" spans="1:6" x14ac:dyDescent="0.3">
      <c r="A10" s="2">
        <v>43276</v>
      </c>
      <c r="B10" s="1" t="s">
        <v>22</v>
      </c>
      <c r="C10" s="1" t="s">
        <v>22</v>
      </c>
      <c r="D10">
        <v>942.76</v>
      </c>
      <c r="E10">
        <v>465.37</v>
      </c>
      <c r="F10">
        <v>477.39</v>
      </c>
    </row>
    <row r="11" spans="1:6" x14ac:dyDescent="0.3">
      <c r="A11" s="2">
        <v>43192</v>
      </c>
      <c r="B11" s="1" t="s">
        <v>22</v>
      </c>
      <c r="C11" s="1" t="s">
        <v>22</v>
      </c>
      <c r="D11">
        <v>817.14</v>
      </c>
      <c r="E11">
        <v>465.37</v>
      </c>
      <c r="F11">
        <v>351.77</v>
      </c>
    </row>
  </sheetData>
  <conditionalFormatting sqref="F2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38BBD6-C6DF-4781-85B3-71F262C8F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PT_Income_Expense</vt:lpstr>
      <vt:lpstr>PT_Savings</vt:lpstr>
      <vt:lpstr>Raw_Month</vt:lpstr>
      <vt:lpstr>PT_Category</vt:lpstr>
      <vt:lpstr>Raw_Category</vt:lpstr>
      <vt:lpstr>Raw_Anomalies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LENKA</dc:creator>
  <cp:lastModifiedBy>ROSHNI LENKA</cp:lastModifiedBy>
  <dcterms:created xsi:type="dcterms:W3CDTF">2026-07-08T10:05:35Z</dcterms:created>
  <dcterms:modified xsi:type="dcterms:W3CDTF">2026-07-08T10:47:03Z</dcterms:modified>
</cp:coreProperties>
</file>